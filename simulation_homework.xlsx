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esktop\"/>
    </mc:Choice>
  </mc:AlternateContent>
  <xr:revisionPtr revIDLastSave="0" documentId="13_ncr:1_{BC9B09D7-EEBD-4BBF-8983-53BB497AEDEC}" xr6:coauthVersionLast="47" xr6:coauthVersionMax="47" xr10:uidLastSave="{00000000-0000-0000-0000-000000000000}"/>
  <bookViews>
    <workbookView xWindow="-30828" yWindow="-96" windowWidth="30936" windowHeight="16776" firstSheet="1" activeTab="1" xr2:uid="{78FB8452-3F32-40DE-A4F3-45B9D11783A6}"/>
  </bookViews>
  <sheets>
    <sheet name="RiskSerializationData8" sheetId="11" state="hidden" r:id="rId1"/>
    <sheet name="SIMULATION" sheetId="1" r:id="rId2"/>
    <sheet name="PROBLEM 1" sheetId="4" r:id="rId3"/>
    <sheet name="PROBLEM 2" sheetId="5" r:id="rId4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FALSE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BrowseRecords" localSheetId="0">RiskSerializationData8!$6:$7</definedName>
    <definedName name="capacity" localSheetId="2">'PROBLEM 1'!$C$9</definedName>
    <definedName name="capacity" localSheetId="3">'PROBLEM 2'!$C$9</definedName>
    <definedName name="capacity">SIMULATION!$C$9</definedName>
    <definedName name="costs" localSheetId="2">'PROBLEM 1'!$C$6</definedName>
    <definedName name="costs" localSheetId="3">'PROBLEM 2'!$C$6</definedName>
    <definedName name="costs">SIMULATION!$C$6</definedName>
    <definedName name="first_class_conversion" localSheetId="2">'PROBLEM 1'!$C$10</definedName>
    <definedName name="first_class_conversion" localSheetId="3">'PROBLEM 2'!$C$10</definedName>
    <definedName name="first_class_conversion">SIMULATION!$C$10</definedName>
    <definedName name="fraction_first" localSheetId="2">'PROBLEM 1'!$C$39</definedName>
    <definedName name="fraction_first" localSheetId="3">'PROBLEM 2'!#REF!</definedName>
    <definedName name="fraction_first">SIMULATION!$C$39</definedName>
    <definedName name="Pal_Workbook_GUID" hidden="1">"MPSRCZWLKGKG9PKSFSCTJXPU"</definedName>
    <definedName name="profit" localSheetId="2">'PROBLEM 1'!$C$34</definedName>
    <definedName name="profit" localSheetId="3">'PROBLEM 2'!$C$34</definedName>
    <definedName name="profit">SIMULATION!$C$34</definedName>
    <definedName name="revenue" localSheetId="2">'PROBLEM 1'!$E$55</definedName>
    <definedName name="revenue" localSheetId="3">'PROBLEM 2'!$E$53</definedName>
    <definedName name="revenue">SIMULATION!$E$55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hidden="1">21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"2"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ows_conversion" localSheetId="2">'PROBLEM 1'!$C$37</definedName>
    <definedName name="rows_conversion" localSheetId="3">'PROBLEM 2'!$C$37</definedName>
    <definedName name="rows_conversion">SIMULATION!$C$37</definedName>
    <definedName name="rows_first" localSheetId="2">'PROBLEM 1'!$C$30</definedName>
    <definedName name="rows_first" localSheetId="3">'PROBLEM 2'!$C$30</definedName>
    <definedName name="rows_first">SIMULATION!$C$30</definedName>
    <definedName name="rows_tourist" localSheetId="2">'PROBLEM 1'!$C$31</definedName>
    <definedName name="rows_tourist" localSheetId="3">'PROBLEM 2'!$C$31</definedName>
    <definedName name="rows_tourist">SIMULATION!$C$31</definedName>
    <definedName name="seats_first" localSheetId="2">'PROBLEM 1'!$D$30</definedName>
    <definedName name="seats_first" localSheetId="3">'PROBLEM 2'!$D$30</definedName>
    <definedName name="seats_first">SIMULATION!$D$30</definedName>
    <definedName name="seats_per_row_first" localSheetId="2">'PROBLEM 1'!$C$13</definedName>
    <definedName name="seats_per_row_first" localSheetId="3">'PROBLEM 2'!$C$13</definedName>
    <definedName name="seats_per_row_first">SIMULATION!$C$13</definedName>
    <definedName name="seats_per_row_tourist" localSheetId="2">'PROBLEM 1'!$D$13</definedName>
    <definedName name="seats_per_row_tourist" localSheetId="3">'PROBLEM 2'!$D$13</definedName>
    <definedName name="seats_per_row_tourist">SIMULATION!$D$13</definedName>
    <definedName name="seats_total" localSheetId="2">'PROBLEM 1'!$D$32</definedName>
    <definedName name="seats_total" localSheetId="3">'PROBLEM 2'!$D$32</definedName>
    <definedName name="seats_total">SIMULATION!$D$32</definedName>
    <definedName name="seats_tourist" localSheetId="2">'PROBLEM 1'!$D$31</definedName>
    <definedName name="seats_tourist" localSheetId="3">'PROBLEM 2'!$D$31</definedName>
    <definedName name="seats_tourist">SIMULATION!$D$31</definedName>
    <definedName name="SerializationHeader" localSheetId="0">RiskSerializationData8!$A$1:$B$3</definedName>
  </definedNames>
  <calcPr calcId="191029" iterate="1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1" l="1"/>
  <c r="A7" i="11"/>
  <c r="L6" i="11"/>
  <c r="A6" i="11"/>
  <c r="C34" i="5" a="1"/>
  <c r="C34" i="5" s="1"/>
  <c r="E42" i="4" a="1"/>
  <c r="E42" i="4" s="1"/>
  <c r="E43" i="4" a="1"/>
  <c r="E43" i="4" s="1"/>
  <c r="E44" i="4" a="1"/>
  <c r="E44" i="4" s="1"/>
  <c r="C39" i="4" a="1"/>
  <c r="C39" i="4" s="1"/>
  <c r="E44" i="1" a="1"/>
  <c r="E44" i="1" s="1"/>
  <c r="F44" i="1" a="1"/>
  <c r="F44" i="1" s="1"/>
  <c r="E43" i="1" a="1"/>
  <c r="E43" i="1" s="1"/>
  <c r="F43" i="1" a="1"/>
  <c r="F43" i="1" s="1"/>
  <c r="E42" i="1" a="1"/>
  <c r="E42" i="1" s="1"/>
  <c r="F42" i="1" a="1"/>
  <c r="F42" i="1" s="1"/>
  <c r="C30" i="1" a="1"/>
  <c r="C30" i="1" s="1"/>
  <c r="C42" i="5"/>
  <c r="C41" i="5"/>
  <c r="C40" i="5"/>
  <c r="E57" i="5"/>
  <c r="D37" i="5"/>
  <c r="C37" i="5"/>
  <c r="C31" i="5"/>
  <c r="D30" i="5"/>
  <c r="E59" i="4"/>
  <c r="D37" i="4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D37" i="1"/>
  <c r="E59" i="1"/>
  <c r="D40" i="5"/>
  <c r="C57" i="5"/>
  <c r="D31" i="5"/>
  <c r="C32" i="5"/>
  <c r="C45" i="5"/>
  <c r="D32" i="5"/>
  <c r="D41" i="5"/>
  <c r="D46" i="5"/>
  <c r="C46" i="5"/>
  <c r="C51" i="5"/>
  <c r="D42" i="5"/>
  <c r="D47" i="5"/>
  <c r="C47" i="5"/>
  <c r="C52" i="5"/>
  <c r="D45" i="5"/>
  <c r="C50" i="5"/>
  <c r="C37" i="4"/>
  <c r="C31" i="4"/>
  <c r="C32" i="4"/>
  <c r="D30" i="4"/>
  <c r="C53" i="5"/>
  <c r="D52" i="5"/>
  <c r="E47" i="5"/>
  <c r="D50" i="5"/>
  <c r="E50" i="5"/>
  <c r="E45" i="5"/>
  <c r="D51" i="5"/>
  <c r="E51" i="5"/>
  <c r="E46" i="5"/>
  <c r="C59" i="4"/>
  <c r="D31" i="4"/>
  <c r="D32" i="4"/>
  <c r="E52" i="5"/>
  <c r="E53" i="5"/>
  <c r="D53" i="5"/>
  <c r="C42" i="4" l="1"/>
  <c r="C43" i="4"/>
  <c r="C44" i="4"/>
  <c r="C44" i="1"/>
  <c r="D44" i="1" s="1"/>
  <c r="C43" i="1"/>
  <c r="D43" i="1" s="1"/>
  <c r="C42" i="1"/>
  <c r="D42" i="1" s="1"/>
  <c r="D30" i="1"/>
  <c r="C37" i="1"/>
  <c r="C31" i="1" s="1"/>
  <c r="C32" i="1" s="1"/>
  <c r="C47" i="4" l="1"/>
  <c r="D42" i="4"/>
  <c r="D47" i="4" s="1"/>
  <c r="D52" i="4" s="1"/>
  <c r="C48" i="4"/>
  <c r="C53" i="4" s="1"/>
  <c r="D43" i="4"/>
  <c r="D48" i="4" s="1"/>
  <c r="C49" i="4"/>
  <c r="D44" i="4"/>
  <c r="D49" i="4" s="1"/>
  <c r="D54" i="4" s="1"/>
  <c r="C49" i="1"/>
  <c r="C48" i="1"/>
  <c r="C47" i="1"/>
  <c r="C59" i="1"/>
  <c r="D31" i="1"/>
  <c r="D32" i="1" s="1"/>
  <c r="E47" i="4" l="1"/>
  <c r="C52" i="4"/>
  <c r="E52" i="4" s="1"/>
  <c r="E49" i="4"/>
  <c r="C54" i="4"/>
  <c r="D53" i="4"/>
  <c r="E48" i="4"/>
  <c r="C54" i="1"/>
  <c r="C53" i="1"/>
  <c r="C52" i="1"/>
  <c r="D49" i="1"/>
  <c r="D47" i="1"/>
  <c r="D48" i="1"/>
  <c r="E54" i="4" l="1"/>
  <c r="C55" i="4"/>
  <c r="E53" i="4"/>
  <c r="D55" i="4"/>
  <c r="D53" i="1"/>
  <c r="E53" i="1" s="1"/>
  <c r="E48" i="1"/>
  <c r="C55" i="1"/>
  <c r="D54" i="1"/>
  <c r="E54" i="1" s="1"/>
  <c r="E49" i="1"/>
  <c r="D52" i="1"/>
  <c r="E52" i="1" s="1"/>
  <c r="E47" i="1"/>
  <c r="E55" i="4" l="1"/>
  <c r="C34" i="4" s="1" a="1"/>
  <c r="C34" i="4" s="1"/>
  <c r="D55" i="1"/>
  <c r="E55" i="1"/>
  <c r="C34" i="1" s="1" a="1"/>
  <c r="C34" i="1" s="1"/>
  <c r="J44" i="1" l="1" a="1"/>
  <c r="J44" i="1" s="1"/>
  <c r="J48" i="1" a="1"/>
  <c r="J48" i="1" s="1"/>
  <c r="J50" i="1" a="1"/>
  <c r="J50" i="1" s="1"/>
  <c r="J34" i="1" a="1"/>
  <c r="J34" i="1" s="1"/>
  <c r="J35" i="1" a="1"/>
  <c r="J35" i="1" s="1"/>
  <c r="J36" i="1" a="1"/>
  <c r="J36" i="1" s="1"/>
  <c r="J37" i="1" a="1"/>
  <c r="J37" i="1" s="1"/>
  <c r="J39" i="1" a="1"/>
  <c r="J39" i="1" s="1"/>
  <c r="J40" i="1" a="1"/>
  <c r="J40" i="1" s="1"/>
  <c r="J41" i="1" a="1"/>
  <c r="J41" i="1" s="1"/>
  <c r="J30" i="1" a="1"/>
  <c r="J30" i="1" s="1"/>
  <c r="J32" i="1" a="1"/>
  <c r="J32" i="1" s="1"/>
  <c r="J33" i="1" a="1"/>
  <c r="J33" i="1" s="1"/>
  <c r="J45" i="1" a="1"/>
  <c r="J45" i="1" s="1"/>
  <c r="J47" i="1" a="1"/>
  <c r="J47" i="1" s="1"/>
  <c r="J49" i="1" a="1"/>
  <c r="J49" i="1" s="1"/>
  <c r="J43" i="1" a="1"/>
  <c r="J43" i="1" s="1"/>
  <c r="J42" i="1" a="1"/>
  <c r="J42" i="1" s="1"/>
  <c r="J46" i="1" a="1"/>
  <c r="J46" i="1" s="1"/>
  <c r="J38" i="1" a="1"/>
  <c r="J38" i="1" s="1"/>
  <c r="J31" i="1" a="1"/>
  <c r="J3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<sst xmlns="http://schemas.openxmlformats.org/spreadsheetml/2006/main" count="231" uniqueCount="63">
  <si>
    <t>Airline Revenue Management</t>
  </si>
  <si>
    <t>OPAN 6605</t>
  </si>
  <si>
    <t>Mike Johnson</t>
  </si>
  <si>
    <t>Data</t>
  </si>
  <si>
    <t>Revenue Per Seat</t>
  </si>
  <si>
    <t>Bos-Atl</t>
  </si>
  <si>
    <t>Atl-Chi</t>
  </si>
  <si>
    <t>Chi-Bos</t>
  </si>
  <si>
    <t>First Class</t>
  </si>
  <si>
    <t>Tourist</t>
  </si>
  <si>
    <t>Distribution of total demand for seats</t>
  </si>
  <si>
    <t>Minimum</t>
  </si>
  <si>
    <t>Most Likely</t>
  </si>
  <si>
    <t>Maximum</t>
  </si>
  <si>
    <t>Distribution of fraction first class</t>
  </si>
  <si>
    <t>Fraction</t>
  </si>
  <si>
    <t>Probability</t>
  </si>
  <si>
    <t>Decisions</t>
  </si>
  <si>
    <t>Objective</t>
  </si>
  <si>
    <t>Profit</t>
  </si>
  <si>
    <t>Calculations</t>
  </si>
  <si>
    <t>Plane Capacity (Tourist Rows)</t>
  </si>
  <si>
    <t>Constraints</t>
  </si>
  <si>
    <t>Capacity</t>
  </si>
  <si>
    <t>Used</t>
  </si>
  <si>
    <t>&lt;=</t>
  </si>
  <si>
    <t>First Class Rows in Tourist Rows</t>
  </si>
  <si>
    <t>First Class Rows Conversion</t>
  </si>
  <si>
    <t>Rows</t>
  </si>
  <si>
    <t>Seats</t>
  </si>
  <si>
    <t>Seats Per Row</t>
  </si>
  <si>
    <t>Fixed Operating Costs</t>
  </si>
  <si>
    <t>Revenue</t>
  </si>
  <si>
    <t>Total</t>
  </si>
  <si>
    <t>Demand</t>
  </si>
  <si>
    <t>Fraction First Class</t>
  </si>
  <si>
    <t>Capacity Constraint</t>
  </si>
  <si>
    <t>Simulation</t>
  </si>
  <si>
    <t>Written By Version</t>
  </si>
  <si>
    <t>8.9.0</t>
  </si>
  <si>
    <t>Serialization Major Version</t>
  </si>
  <si>
    <t>Serialization Minor Version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</si>
  <si>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</si>
  <si>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</si>
  <si>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</si>
  <si>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</si>
  <si>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</si>
  <si>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</si>
  <si>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</si>
  <si>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</si>
  <si>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</si>
  <si>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</si>
  <si>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</si>
  <si>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</si>
  <si>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</si>
  <si>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</si>
  <si>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</si>
  <si>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</si>
  <si>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</si>
  <si>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</si>
  <si>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GF1_rK0qDwEAEwDiAAwjACcAXwBwAIQAhQCTAKEAvADeANgAKwD//wAAAAAAAAEEAAAAACpfKCQqICMsIyMwXyk7XygkKiAoIywjIzApO18oJCogIi0iXyk7XyhAXykAAAABBnByb2ZpdAEFU2ltIDYBARAAAgABClN0YXRpc3RpY3MDAQEA/wEBAQEBAAEBAQAEAAAAAQEBAQEAAQEBAAQAAAABpQACEwAGcHJvZml0AAAA/9wUPAEAAAIAAgDEAM4AAQEDAZqZmZmZmak/AABmZmZmZmbuPwAABQABAQEAAQEBAA==</t>
  </si>
  <si>
    <t>Frac FC</t>
  </si>
  <si>
    <t>GF1_rK0qDwEAEwDgAAwjACcAXwBwAIQAhQCTAKEAvADcANYAKwD//wAAAAAAAAEEAAAAACpfKCQqICMsIyMwXyk7XygkKiAoIywjIzApO18oJCogIi0iXyk7XyhAXykAAAABBnByb2ZpdAEFU2ltIDQBARAAAgABClN0YXRpc3RpY3MDAQEA/wEBAQEBAAEBAQAEAAAAAQEBAQEAAQEBAAQAAAABpQACEwAGcHJvZml0AAAA/9wUPAEAAAIAAgDEAM0AAQEDAQAAAAAAAPD/AQAAAAAAAAAAAQUAAQEBAAEBAQ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</si>
</sst>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5" formatCode="_(&quot;$&quot;* #,##0.00_);_(&quot;$&quot;* \(#,##0.00\);_(&quot;$&quot;* &quot;-&quot;_);_(@_)"/>
    <numFmt numFmtId="167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 applyAlignment="1">
      <alignment horizontal="right"/>
    </xf>
    <xf numFmtId="0" fontId="0" fillId="0" borderId="0" xfId="0" applyAlignment="1">
      <alignment horizontal="right"/>
    </xf>
    <xf numFmtId="42" fontId="0" fillId="0" borderId="0" xfId="0" applyNumberForma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7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2" xfId="0" applyBorder="1"/>
    <xf numFmtId="42" fontId="0" fillId="0" borderId="2" xfId="0" applyNumberFormat="1" applyBorder="1" applyAlignment="1">
      <alignment horizontal="center"/>
    </xf>
    <xf numFmtId="42" fontId="0" fillId="2" borderId="2" xfId="0" applyNumberFormat="1" applyFill="1" applyBorder="1" applyAlignment="1">
      <alignment horizontal="center"/>
    </xf>
    <xf numFmtId="1" fontId="0" fillId="0" borderId="0" xfId="0" applyNumberFormat="1" applyAlignment="1">
      <alignment horizontal="right"/>
    </xf>
    <xf numFmtId="1" fontId="6" fillId="0" borderId="0" xfId="0" applyNumberFormat="1" applyFont="1" applyAlignment="1">
      <alignment horizontal="right"/>
    </xf>
    <xf numFmtId="1" fontId="6" fillId="0" borderId="0" xfId="0" quotePrefix="1" applyNumberFormat="1" applyFont="1" applyAlignment="1">
      <alignment horizontal="right"/>
    </xf>
    <xf numFmtId="0" fontId="0" fillId="0" borderId="1" xfId="0" applyBorder="1" applyAlignment="1">
      <alignment horizontal="right"/>
    </xf>
    <xf numFmtId="9" fontId="0" fillId="0" borderId="0" xfId="1" applyFont="1"/>
    <xf numFmtId="165" fontId="7" fillId="2" borderId="2" xfId="0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7" fontId="0" fillId="0" borderId="0" xfId="0" applyNumberFormat="1"/>
  </cellXfs>
  <cellStyles count="2">
    <cellStyle name="Normal" xfId="0" builtinId="0"/>
    <cellStyle name="Percent" xfId="1" builtinId="5"/>
  </cellStyles>
  <dxfs count="31"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000000"/>
      </font>
      <fill>
        <patternFill>
          <bgColor rgb="FFFFF8D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SIMULATION!$J$29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SIMULATION!$I$30:$I$50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SIMULATION!$J$30:$J$50</c:f>
              <c:numCache>
                <c:formatCode>_("$"* #,##0_);_("$"* \(#,##0\);_("$"* "-"??_);_(@_)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A-4B38-81EC-5AC2CB081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742240"/>
        <c:axId val="1129740800"/>
      </c:scatterChart>
      <c:valAx>
        <c:axId val="112974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First</a:t>
                </a:r>
                <a:r>
                  <a:rPr lang="en-US" baseline="0"/>
                  <a:t> Class Rows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40800"/>
        <c:crosses val="autoZero"/>
        <c:crossBetween val="midCat"/>
      </c:valAx>
      <c:valAx>
        <c:axId val="11297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4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26</xdr:row>
      <xdr:rowOff>72390</xdr:rowOff>
    </xdr:from>
    <xdr:to>
      <xdr:col>19</xdr:col>
      <xdr:colOff>114300</xdr:colOff>
      <xdr:row>41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E188F-3ADC-FF91-F8DF-40A2C3FB2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6C9B-96AB-48ED-AAD1-796AEF628DC7}">
  <dimension ref="A1:X7"/>
  <sheetViews>
    <sheetView workbookViewId="0"/>
  </sheetViews>
  <sheetFormatPr defaultColWidth="25.77734375" defaultRowHeight="14.4" x14ac:dyDescent="0.3"/>
  <sheetData>
    <row r="1" spans="1:24" x14ac:dyDescent="0.3">
      <c r="A1" t="s">
        <v>38</v>
      </c>
      <c r="B1" t="s">
        <v>39</v>
      </c>
    </row>
    <row r="2" spans="1:24" x14ac:dyDescent="0.3">
      <c r="A2" t="s">
        <v>40</v>
      </c>
      <c r="B2">
        <v>4</v>
      </c>
    </row>
    <row r="3" spans="1:24" x14ac:dyDescent="0.3">
      <c r="A3" t="s">
        <v>41</v>
      </c>
      <c r="B3">
        <v>0</v>
      </c>
    </row>
    <row r="5" spans="1:24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J5" t="s">
        <v>48</v>
      </c>
      <c r="K5" t="s">
        <v>49</v>
      </c>
      <c r="L5" t="s">
        <v>50</v>
      </c>
      <c r="N5" t="s">
        <v>51</v>
      </c>
      <c r="O5" t="s">
        <v>52</v>
      </c>
      <c r="P5" t="s">
        <v>53</v>
      </c>
      <c r="R5" t="s">
        <v>54</v>
      </c>
      <c r="S5" t="s">
        <v>55</v>
      </c>
      <c r="T5" t="s">
        <v>56</v>
      </c>
      <c r="V5" t="s">
        <v>57</v>
      </c>
      <c r="W5" t="s">
        <v>58</v>
      </c>
      <c r="X5" t="s">
        <v>59</v>
      </c>
    </row>
    <row r="6" spans="1:24" x14ac:dyDescent="0.3">
      <c r="A6" t="e">
        <f ca="1">ModelRef(SIMULATION!$C$34,1,0,3)</f>
        <v>#NAME?</v>
      </c>
      <c r="B6">
        <v>0</v>
      </c>
      <c r="C6">
        <v>3</v>
      </c>
      <c r="F6">
        <v>0</v>
      </c>
      <c r="J6" t="b">
        <v>1</v>
      </c>
      <c r="K6" t="s">
        <v>62</v>
      </c>
      <c r="L6" t="e">
        <f ca="1">ModelRef(SIMULATION!$C$34,1,0,3)</f>
        <v>#NAME?</v>
      </c>
    </row>
    <row r="7" spans="1:24" x14ac:dyDescent="0.3">
      <c r="A7" t="e">
        <f ca="1">ModelRef(SIMULATION!$C$34,1,0,5)</f>
        <v>#NAME?</v>
      </c>
      <c r="B7">
        <v>0</v>
      </c>
      <c r="C7">
        <v>3</v>
      </c>
      <c r="F7">
        <v>0</v>
      </c>
      <c r="J7" t="b">
        <v>1</v>
      </c>
      <c r="K7" t="s">
        <v>60</v>
      </c>
      <c r="L7" t="e">
        <f ca="1">ModelRef(SIMULATION!$C$34,1,0,5)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CFF9-11E1-44F2-B444-2D88E952FCDF}">
  <dimension ref="A1:J59"/>
  <sheetViews>
    <sheetView showGridLines="0" tabSelected="1" topLeftCell="A7" workbookViewId="0">
      <selection activeCell="E42" sqref="E42"/>
    </sheetView>
  </sheetViews>
  <sheetFormatPr defaultRowHeight="14.4" x14ac:dyDescent="0.3"/>
  <cols>
    <col min="2" max="2" width="32.109375" bestFit="1" customWidth="1"/>
    <col min="3" max="5" width="10.77734375" style="2" customWidth="1"/>
    <col min="8" max="9" width="10.77734375" customWidth="1"/>
    <col min="10" max="10" width="12.77734375" customWidth="1"/>
  </cols>
  <sheetData>
    <row r="1" spans="1:5" x14ac:dyDescent="0.3">
      <c r="A1" s="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5" spans="1:5" x14ac:dyDescent="0.3">
      <c r="B5" s="1" t="s">
        <v>3</v>
      </c>
    </row>
    <row r="6" spans="1:5" x14ac:dyDescent="0.3">
      <c r="B6" t="s">
        <v>31</v>
      </c>
      <c r="C6" s="3">
        <v>100000</v>
      </c>
    </row>
    <row r="8" spans="1:5" x14ac:dyDescent="0.3">
      <c r="B8" s="8" t="s">
        <v>28</v>
      </c>
    </row>
    <row r="9" spans="1:5" x14ac:dyDescent="0.3">
      <c r="B9" t="s">
        <v>21</v>
      </c>
      <c r="C9" s="6">
        <v>40</v>
      </c>
      <c r="D9" s="10"/>
    </row>
    <row r="10" spans="1:5" x14ac:dyDescent="0.3">
      <c r="B10" t="s">
        <v>26</v>
      </c>
      <c r="C10" s="6">
        <v>2</v>
      </c>
      <c r="D10" s="10"/>
    </row>
    <row r="12" spans="1:5" x14ac:dyDescent="0.3">
      <c r="B12" s="8" t="s">
        <v>29</v>
      </c>
      <c r="C12" s="9" t="s">
        <v>8</v>
      </c>
      <c r="D12" s="9" t="s">
        <v>9</v>
      </c>
    </row>
    <row r="13" spans="1:5" x14ac:dyDescent="0.3">
      <c r="B13" t="s">
        <v>30</v>
      </c>
      <c r="C13" s="6">
        <v>4</v>
      </c>
      <c r="D13" s="6">
        <v>6</v>
      </c>
    </row>
    <row r="15" spans="1:5" x14ac:dyDescent="0.3">
      <c r="B15" s="8" t="s">
        <v>4</v>
      </c>
      <c r="C15" s="9" t="s">
        <v>8</v>
      </c>
      <c r="D15" s="9" t="s">
        <v>9</v>
      </c>
    </row>
    <row r="16" spans="1:5" x14ac:dyDescent="0.3">
      <c r="B16" t="s">
        <v>5</v>
      </c>
      <c r="C16" s="7">
        <v>400</v>
      </c>
      <c r="D16" s="7">
        <v>175</v>
      </c>
      <c r="E16" s="6"/>
    </row>
    <row r="17" spans="2:10" x14ac:dyDescent="0.3">
      <c r="B17" t="s">
        <v>6</v>
      </c>
      <c r="C17" s="7">
        <v>400</v>
      </c>
      <c r="D17" s="7">
        <v>150</v>
      </c>
      <c r="E17" s="6"/>
    </row>
    <row r="18" spans="2:10" x14ac:dyDescent="0.3">
      <c r="B18" t="s">
        <v>7</v>
      </c>
      <c r="C18" s="7">
        <v>450</v>
      </c>
      <c r="D18" s="7">
        <v>200</v>
      </c>
      <c r="E18" s="6"/>
    </row>
    <row r="20" spans="2:10" x14ac:dyDescent="0.3">
      <c r="B20" s="8" t="s">
        <v>10</v>
      </c>
      <c r="C20" s="9" t="s">
        <v>11</v>
      </c>
      <c r="D20" s="9" t="s">
        <v>12</v>
      </c>
      <c r="E20" s="9" t="s">
        <v>13</v>
      </c>
    </row>
    <row r="21" spans="2:10" x14ac:dyDescent="0.3">
      <c r="B21" t="s">
        <v>5</v>
      </c>
      <c r="C21" s="11">
        <v>160</v>
      </c>
      <c r="D21" s="11">
        <v>180</v>
      </c>
      <c r="E21" s="11">
        <v>220</v>
      </c>
    </row>
    <row r="22" spans="2:10" x14ac:dyDescent="0.3">
      <c r="B22" t="s">
        <v>6</v>
      </c>
      <c r="C22" s="11">
        <v>140</v>
      </c>
      <c r="D22" s="11">
        <v>200</v>
      </c>
      <c r="E22" s="11">
        <v>240</v>
      </c>
    </row>
    <row r="23" spans="2:10" x14ac:dyDescent="0.3">
      <c r="B23" t="s">
        <v>7</v>
      </c>
      <c r="C23" s="11">
        <v>150</v>
      </c>
      <c r="D23" s="11">
        <v>200</v>
      </c>
      <c r="E23" s="11">
        <v>225</v>
      </c>
    </row>
    <row r="25" spans="2:10" x14ac:dyDescent="0.3">
      <c r="B25" s="8" t="s">
        <v>14</v>
      </c>
      <c r="C25" s="9" t="s">
        <v>11</v>
      </c>
      <c r="D25" s="9" t="s">
        <v>12</v>
      </c>
      <c r="E25" s="9" t="s">
        <v>13</v>
      </c>
    </row>
    <row r="26" spans="2:10" x14ac:dyDescent="0.3">
      <c r="B26" t="s">
        <v>15</v>
      </c>
      <c r="C26" s="5">
        <v>0.05</v>
      </c>
      <c r="D26" s="5">
        <v>0.12</v>
      </c>
      <c r="E26" s="5">
        <v>0.15</v>
      </c>
    </row>
    <row r="27" spans="2:10" x14ac:dyDescent="0.3">
      <c r="B27" t="s">
        <v>16</v>
      </c>
      <c r="C27" s="6">
        <v>0.2</v>
      </c>
      <c r="D27" s="6">
        <v>0.5</v>
      </c>
      <c r="E27" s="6">
        <v>0.3</v>
      </c>
    </row>
    <row r="29" spans="2:10" x14ac:dyDescent="0.3">
      <c r="B29" s="1" t="s">
        <v>17</v>
      </c>
      <c r="C29" s="13" t="s">
        <v>28</v>
      </c>
      <c r="D29" s="13" t="s">
        <v>29</v>
      </c>
      <c r="H29" s="13" t="s">
        <v>37</v>
      </c>
      <c r="I29" s="13" t="s">
        <v>28</v>
      </c>
      <c r="J29" s="13" t="s">
        <v>19</v>
      </c>
    </row>
    <row r="30" spans="2:10" x14ac:dyDescent="0.3">
      <c r="B30" t="s">
        <v>8</v>
      </c>
      <c r="C30" s="6" t="e" cm="1">
        <f t="array" aca="1" ref="C30" ca="1">_xll.RiskSimtable(I30:I50, _xll.RiskStatic(6))</f>
        <v>#VALUE!</v>
      </c>
      <c r="D30" s="6" t="e">
        <f ca="1">rows_first*seats_per_row_first</f>
        <v>#VALUE!</v>
      </c>
      <c r="H30">
        <v>1</v>
      </c>
      <c r="I30">
        <v>0</v>
      </c>
      <c r="J30" s="24" t="e" cm="1">
        <f t="array" aca="1" ref="J30" ca="1">_xll.RiskMean(profit,H30)</f>
        <v>#VALUE!</v>
      </c>
    </row>
    <row r="31" spans="2:10" x14ac:dyDescent="0.3">
      <c r="B31" t="s">
        <v>9</v>
      </c>
      <c r="C31" s="6" t="e">
        <f ca="1">capacity-C37</f>
        <v>#VALUE!</v>
      </c>
      <c r="D31" s="6" t="e">
        <f ca="1">rows_tourist*seats_per_row_tourist</f>
        <v>#VALUE!</v>
      </c>
      <c r="H31">
        <v>2</v>
      </c>
      <c r="I31">
        <f>I30+1</f>
        <v>1</v>
      </c>
      <c r="J31" s="24" t="e" cm="1">
        <f t="array" aca="1" ref="J31" ca="1">_xll.RiskMean(profit,H31)</f>
        <v>#VALUE!</v>
      </c>
    </row>
    <row r="32" spans="2:10" x14ac:dyDescent="0.3">
      <c r="C32" s="20" t="e">
        <f ca="1">SUM(C30:C31)</f>
        <v>#VALUE!</v>
      </c>
      <c r="D32" s="20" t="e">
        <f ca="1">seats_first+seats_tourist</f>
        <v>#VALUE!</v>
      </c>
      <c r="H32">
        <v>3</v>
      </c>
      <c r="I32">
        <f>I31+1</f>
        <v>2</v>
      </c>
      <c r="J32" s="24" t="e" cm="1">
        <f t="array" aca="1" ref="J32" ca="1">_xll.RiskMean(profit,H32)</f>
        <v>#VALUE!</v>
      </c>
    </row>
    <row r="33" spans="2:10" x14ac:dyDescent="0.3">
      <c r="B33" s="1" t="s">
        <v>18</v>
      </c>
      <c r="H33">
        <v>4</v>
      </c>
      <c r="I33">
        <f>I32+1</f>
        <v>3</v>
      </c>
      <c r="J33" s="24" t="e" cm="1">
        <f t="array" aca="1" ref="J33" ca="1">_xll.RiskMean(profit,H33)</f>
        <v>#VALUE!</v>
      </c>
    </row>
    <row r="34" spans="2:10" x14ac:dyDescent="0.3">
      <c r="B34" t="s">
        <v>19</v>
      </c>
      <c r="C34" s="3" t="e" cm="1">
        <f t="array" aca="1" ref="C34" ca="1">_xll.RiskOutput()+revenue-costs</f>
        <v>#VALUE!</v>
      </c>
      <c r="H34">
        <v>5</v>
      </c>
      <c r="I34">
        <f>I33+1</f>
        <v>4</v>
      </c>
      <c r="J34" s="24" t="e" cm="1">
        <f t="array" aca="1" ref="J34" ca="1">_xll.RiskMean(profit,H34)</f>
        <v>#VALUE!</v>
      </c>
    </row>
    <row r="35" spans="2:10" x14ac:dyDescent="0.3">
      <c r="H35">
        <v>6</v>
      </c>
      <c r="I35">
        <f>I34+1</f>
        <v>5</v>
      </c>
      <c r="J35" s="24" t="e" cm="1">
        <f t="array" aca="1" ref="J35" ca="1">_xll.RiskMean(profit,H35)</f>
        <v>#VALUE!</v>
      </c>
    </row>
    <row r="36" spans="2:10" x14ac:dyDescent="0.3">
      <c r="B36" s="1" t="s">
        <v>20</v>
      </c>
      <c r="H36">
        <v>7</v>
      </c>
      <c r="I36">
        <f>I35+1</f>
        <v>6</v>
      </c>
      <c r="J36" s="24" t="e" cm="1">
        <f t="array" aca="1" ref="J36" ca="1">_xll.RiskMean(profit,H36)</f>
        <v>#VALUE!</v>
      </c>
    </row>
    <row r="37" spans="2:10" x14ac:dyDescent="0.3">
      <c r="B37" t="s">
        <v>27</v>
      </c>
      <c r="C37" s="2" t="e">
        <f ca="1">rows_first*first_class_conversion</f>
        <v>#VALUE!</v>
      </c>
      <c r="D37" s="12" t="str">
        <f ca="1">_xlfn.FORMULATEXT(rows_conversion)</f>
        <v>=rows_first*first_class_conversion</v>
      </c>
      <c r="H37">
        <v>8</v>
      </c>
      <c r="I37">
        <f>I36+1</f>
        <v>7</v>
      </c>
      <c r="J37" s="24" t="e" cm="1">
        <f t="array" aca="1" ref="J37" ca="1">_xll.RiskMean(profit,H37)</f>
        <v>#VALUE!</v>
      </c>
    </row>
    <row r="38" spans="2:10" x14ac:dyDescent="0.3">
      <c r="D38" s="12"/>
      <c r="H38">
        <v>9</v>
      </c>
      <c r="I38">
        <f>I37+1</f>
        <v>8</v>
      </c>
      <c r="J38" s="24" t="e" cm="1">
        <f t="array" aca="1" ref="J38" ca="1">_xll.RiskMean(profit,H38)</f>
        <v>#VALUE!</v>
      </c>
    </row>
    <row r="39" spans="2:10" x14ac:dyDescent="0.3">
      <c r="C39" s="4"/>
      <c r="D39" s="12"/>
      <c r="H39">
        <v>10</v>
      </c>
      <c r="I39">
        <f>I38+1</f>
        <v>9</v>
      </c>
      <c r="J39" s="24" t="e" cm="1">
        <f t="array" aca="1" ref="J39" ca="1">_xll.RiskMean(profit,H39)</f>
        <v>#VALUE!</v>
      </c>
    </row>
    <row r="40" spans="2:10" x14ac:dyDescent="0.3">
      <c r="D40" s="12"/>
      <c r="H40">
        <v>11</v>
      </c>
      <c r="I40">
        <f>I39+1</f>
        <v>10</v>
      </c>
      <c r="J40" s="24" t="e" cm="1">
        <f t="array" aca="1" ref="J40" ca="1">_xll.RiskMean(profit,H40)</f>
        <v>#VALUE!</v>
      </c>
    </row>
    <row r="41" spans="2:10" x14ac:dyDescent="0.3">
      <c r="B41" s="8" t="s">
        <v>34</v>
      </c>
      <c r="C41" s="9" t="s">
        <v>8</v>
      </c>
      <c r="D41" s="9" t="s">
        <v>9</v>
      </c>
      <c r="E41" s="9" t="s">
        <v>33</v>
      </c>
      <c r="F41" s="9" t="s">
        <v>61</v>
      </c>
      <c r="H41">
        <v>12</v>
      </c>
      <c r="I41">
        <f>I40+1</f>
        <v>11</v>
      </c>
      <c r="J41" s="24" t="e" cm="1">
        <f t="array" aca="1" ref="J41" ca="1">_xll.RiskMean(profit,H41)</f>
        <v>#VALUE!</v>
      </c>
    </row>
    <row r="42" spans="2:10" x14ac:dyDescent="0.3">
      <c r="B42" t="s">
        <v>5</v>
      </c>
      <c r="C42" s="19" t="e">
        <f ca="1">E42*F42</f>
        <v>#VALUE!</v>
      </c>
      <c r="D42" s="18" t="e">
        <f ca="1">E42-C42</f>
        <v>#VALUE!</v>
      </c>
      <c r="E42" s="17" t="e" cm="1">
        <f t="array" aca="1" ref="E42" ca="1">_xll.RiskTriang(C21,D21,E21)</f>
        <v>#VALUE!</v>
      </c>
      <c r="F42" s="5" t="e" cm="1">
        <f t="array" aca="1" ref="F42" ca="1">_xll.RiskDiscrete($C$26:$E$26,$C$27:$E$27)</f>
        <v>#VALUE!</v>
      </c>
      <c r="H42">
        <v>13</v>
      </c>
      <c r="I42">
        <f>I41+1</f>
        <v>12</v>
      </c>
      <c r="J42" s="24" t="e" cm="1">
        <f t="array" aca="1" ref="J42" ca="1">_xll.RiskMean(profit,H42)</f>
        <v>#VALUE!</v>
      </c>
    </row>
    <row r="43" spans="2:10" x14ac:dyDescent="0.3">
      <c r="B43" t="s">
        <v>6</v>
      </c>
      <c r="C43" s="19" t="e">
        <f ca="1">E43*F43</f>
        <v>#VALUE!</v>
      </c>
      <c r="D43" s="18" t="e">
        <f ca="1">E43-C43</f>
        <v>#VALUE!</v>
      </c>
      <c r="E43" s="17" t="e" cm="1">
        <f t="array" aca="1" ref="E43" ca="1">_xll.RiskTriang(C22,D22,E22)</f>
        <v>#VALUE!</v>
      </c>
      <c r="F43" s="5" t="e" cm="1">
        <f t="array" aca="1" ref="F43" ca="1">_xll.RiskDiscrete($C$26:$E$26,$C$27:$E$27)</f>
        <v>#VALUE!</v>
      </c>
      <c r="H43">
        <v>14</v>
      </c>
      <c r="I43">
        <f>I42+1</f>
        <v>13</v>
      </c>
      <c r="J43" s="24" t="e" cm="1">
        <f t="array" aca="1" ref="J43" ca="1">_xll.RiskMean(profit,H43)</f>
        <v>#VALUE!</v>
      </c>
    </row>
    <row r="44" spans="2:10" x14ac:dyDescent="0.3">
      <c r="B44" t="s">
        <v>7</v>
      </c>
      <c r="C44" s="19" t="e">
        <f ca="1">E44*F44</f>
        <v>#VALUE!</v>
      </c>
      <c r="D44" s="18" t="e">
        <f ca="1">E44-C44</f>
        <v>#VALUE!</v>
      </c>
      <c r="E44" s="17" t="e" cm="1">
        <f t="array" aca="1" ref="E44" ca="1">_xll.RiskTriang(C23,D23,E23)</f>
        <v>#VALUE!</v>
      </c>
      <c r="F44" s="5" t="e" cm="1">
        <f t="array" aca="1" ref="F44" ca="1">_xll.RiskDiscrete($C$26:$E$26,$C$27:$E$27)</f>
        <v>#VALUE!</v>
      </c>
      <c r="H44">
        <v>15</v>
      </c>
      <c r="I44">
        <f>I43+1</f>
        <v>14</v>
      </c>
      <c r="J44" s="24" t="e" cm="1">
        <f t="array" aca="1" ref="J44" ca="1">_xll.RiskMean(profit,H44)</f>
        <v>#VALUE!</v>
      </c>
    </row>
    <row r="45" spans="2:10" x14ac:dyDescent="0.3">
      <c r="D45" s="12"/>
      <c r="H45">
        <v>16</v>
      </c>
      <c r="I45">
        <f>I44+1</f>
        <v>15</v>
      </c>
      <c r="J45" s="24" t="e" cm="1">
        <f t="array" aca="1" ref="J45" ca="1">_xll.RiskMean(profit,H45)</f>
        <v>#VALUE!</v>
      </c>
    </row>
    <row r="46" spans="2:10" x14ac:dyDescent="0.3">
      <c r="B46" s="8" t="s">
        <v>36</v>
      </c>
      <c r="C46" s="9" t="s">
        <v>8</v>
      </c>
      <c r="D46" s="9" t="s">
        <v>9</v>
      </c>
      <c r="E46" s="9" t="s">
        <v>33</v>
      </c>
      <c r="H46">
        <v>17</v>
      </c>
      <c r="I46">
        <f>I45+1</f>
        <v>16</v>
      </c>
      <c r="J46" s="24" t="e" cm="1">
        <f t="array" aca="1" ref="J46" ca="1">_xll.RiskMean(profit,H46)</f>
        <v>#VALUE!</v>
      </c>
    </row>
    <row r="47" spans="2:10" x14ac:dyDescent="0.3">
      <c r="B47" t="s">
        <v>5</v>
      </c>
      <c r="C47" s="17" t="e">
        <f ca="1">MIN(seats_first,C42)</f>
        <v>#VALUE!</v>
      </c>
      <c r="D47" s="19" t="e">
        <f ca="1">MIN(seats_tourist,D42)</f>
        <v>#VALUE!</v>
      </c>
      <c r="E47" s="17" t="e">
        <f ca="1">SUM(C47:D47)</f>
        <v>#VALUE!</v>
      </c>
      <c r="H47">
        <v>18</v>
      </c>
      <c r="I47">
        <f>I46+1</f>
        <v>17</v>
      </c>
      <c r="J47" s="24" t="e" cm="1">
        <f t="array" aca="1" ref="J47" ca="1">_xll.RiskMean(profit,H47)</f>
        <v>#VALUE!</v>
      </c>
    </row>
    <row r="48" spans="2:10" x14ac:dyDescent="0.3">
      <c r="B48" t="s">
        <v>6</v>
      </c>
      <c r="C48" s="17" t="e">
        <f ca="1">MIN(seats_first,C43)</f>
        <v>#VALUE!</v>
      </c>
      <c r="D48" s="19" t="e">
        <f ca="1">MIN(seats_tourist,D43)</f>
        <v>#VALUE!</v>
      </c>
      <c r="E48" s="17" t="e">
        <f ca="1">SUM(C48:D48)</f>
        <v>#VALUE!</v>
      </c>
      <c r="H48">
        <v>19</v>
      </c>
      <c r="I48">
        <f>I47+1</f>
        <v>18</v>
      </c>
      <c r="J48" s="24" t="e" cm="1">
        <f t="array" aca="1" ref="J48" ca="1">_xll.RiskMean(profit,H48)</f>
        <v>#VALUE!</v>
      </c>
    </row>
    <row r="49" spans="2:10" x14ac:dyDescent="0.3">
      <c r="B49" t="s">
        <v>7</v>
      </c>
      <c r="C49" s="17" t="e">
        <f ca="1">MIN(seats_first,C44)</f>
        <v>#VALUE!</v>
      </c>
      <c r="D49" s="19" t="e">
        <f ca="1">MIN(seats_tourist,D44)</f>
        <v>#VALUE!</v>
      </c>
      <c r="E49" s="17" t="e">
        <f ca="1">SUM(C49:D49)</f>
        <v>#VALUE!</v>
      </c>
      <c r="H49">
        <v>20</v>
      </c>
      <c r="I49">
        <f>I48+1</f>
        <v>19</v>
      </c>
      <c r="J49" s="24" t="e" cm="1">
        <f t="array" aca="1" ref="J49" ca="1">_xll.RiskMean(profit,H49)</f>
        <v>#VALUE!</v>
      </c>
    </row>
    <row r="50" spans="2:10" x14ac:dyDescent="0.3">
      <c r="D50" s="12"/>
      <c r="H50">
        <v>21</v>
      </c>
      <c r="I50">
        <f>I49+1</f>
        <v>20</v>
      </c>
      <c r="J50" s="24" t="e" cm="1">
        <f t="array" aca="1" ref="J50" ca="1">_xll.RiskMean(profit,H50)</f>
        <v>#VALUE!</v>
      </c>
    </row>
    <row r="51" spans="2:10" x14ac:dyDescent="0.3">
      <c r="B51" s="8" t="s">
        <v>32</v>
      </c>
      <c r="C51" s="9" t="s">
        <v>8</v>
      </c>
      <c r="D51" s="9" t="s">
        <v>9</v>
      </c>
      <c r="E51" s="9" t="s">
        <v>33</v>
      </c>
    </row>
    <row r="52" spans="2:10" x14ac:dyDescent="0.3">
      <c r="B52" t="s">
        <v>5</v>
      </c>
      <c r="C52" s="3" t="e">
        <f ca="1">C16*C47</f>
        <v>#VALUE!</v>
      </c>
      <c r="D52" s="3" t="e">
        <f t="shared" ref="D52:D54" ca="1" si="0">D16*D47</f>
        <v>#VALUE!</v>
      </c>
      <c r="E52" s="3" t="e">
        <f ca="1">SUM(C52:D52)</f>
        <v>#VALUE!</v>
      </c>
    </row>
    <row r="53" spans="2:10" x14ac:dyDescent="0.3">
      <c r="B53" t="s">
        <v>6</v>
      </c>
      <c r="C53" s="3" t="e">
        <f t="shared" ref="C53:D53" ca="1" si="1">C17*C48</f>
        <v>#VALUE!</v>
      </c>
      <c r="D53" s="3" t="e">
        <f t="shared" ca="1" si="0"/>
        <v>#VALUE!</v>
      </c>
      <c r="E53" s="3" t="e">
        <f ca="1">SUM(C53:D53)</f>
        <v>#VALUE!</v>
      </c>
    </row>
    <row r="54" spans="2:10" x14ac:dyDescent="0.3">
      <c r="B54" t="s">
        <v>7</v>
      </c>
      <c r="C54" s="3" t="e">
        <f t="shared" ref="C54:D54" ca="1" si="2">C18*C49</f>
        <v>#VALUE!</v>
      </c>
      <c r="D54" s="3" t="e">
        <f t="shared" ca="1" si="0"/>
        <v>#VALUE!</v>
      </c>
      <c r="E54" s="3" t="e">
        <f ca="1">SUM(C54:D54)</f>
        <v>#VALUE!</v>
      </c>
    </row>
    <row r="55" spans="2:10" ht="15" thickBot="1" x14ac:dyDescent="0.35">
      <c r="B55" s="14" t="s">
        <v>33</v>
      </c>
      <c r="C55" s="15" t="e">
        <f ca="1">SUM(C52:C54)</f>
        <v>#VALUE!</v>
      </c>
      <c r="D55" s="15" t="e">
        <f ca="1">SUM(D52:D54)</f>
        <v>#VALUE!</v>
      </c>
      <c r="E55" s="16" t="e">
        <f ca="1">SUM(E52:E54)</f>
        <v>#VALUE!</v>
      </c>
    </row>
    <row r="56" spans="2:10" ht="15" thickTop="1" x14ac:dyDescent="0.3"/>
    <row r="57" spans="2:10" x14ac:dyDescent="0.3">
      <c r="B57" s="1" t="s">
        <v>22</v>
      </c>
    </row>
    <row r="58" spans="2:10" x14ac:dyDescent="0.3">
      <c r="C58" s="9" t="s">
        <v>24</v>
      </c>
      <c r="D58" s="9"/>
      <c r="E58" s="9" t="s">
        <v>23</v>
      </c>
    </row>
    <row r="59" spans="2:10" x14ac:dyDescent="0.3">
      <c r="B59" t="s">
        <v>21</v>
      </c>
      <c r="C59" s="2" t="e">
        <f ca="1">rows_tourist+rows_conversion</f>
        <v>#VALUE!</v>
      </c>
      <c r="D59" s="2" t="s">
        <v>25</v>
      </c>
      <c r="E59" s="2">
        <f>capacity</f>
        <v>40</v>
      </c>
    </row>
  </sheetData>
  <conditionalFormatting sqref="C39 E42:E44 C34 C30 J30:J50">
    <cfRule type="expression" dxfId="17" priority="10" stopIfTrue="1">
      <formula>RiskColorCellsSimOutput</formula>
    </cfRule>
    <cfRule type="expression" dxfId="16" priority="11" stopIfTrue="1">
      <formula>RiskColorCellsSimInput</formula>
    </cfRule>
    <cfRule type="expression" dxfId="15" priority="12" stopIfTrue="1">
      <formula>RiskColorCellsSimStatistics</formula>
    </cfRule>
  </conditionalFormatting>
  <conditionalFormatting sqref="F42">
    <cfRule type="expression" dxfId="14" priority="7" stopIfTrue="1">
      <formula>RiskColorCellsSimOutput</formula>
    </cfRule>
    <cfRule type="expression" dxfId="13" priority="8" stopIfTrue="1">
      <formula>RiskColorCellsSimInput</formula>
    </cfRule>
    <cfRule type="expression" dxfId="12" priority="9" stopIfTrue="1">
      <formula>RiskColorCellsSimStatistics</formula>
    </cfRule>
  </conditionalFormatting>
  <conditionalFormatting sqref="F43">
    <cfRule type="expression" dxfId="11" priority="4" stopIfTrue="1">
      <formula>RiskColorCellsSimOutput</formula>
    </cfRule>
    <cfRule type="expression" dxfId="10" priority="5" stopIfTrue="1">
      <formula>RiskColorCellsSimInput</formula>
    </cfRule>
    <cfRule type="expression" dxfId="9" priority="6" stopIfTrue="1">
      <formula>RiskColorCellsSimStatistics</formula>
    </cfRule>
  </conditionalFormatting>
  <conditionalFormatting sqref="F44">
    <cfRule type="expression" dxfId="8" priority="1" stopIfTrue="1">
      <formula>RiskColorCellsSimOutput</formula>
    </cfRule>
    <cfRule type="expression" dxfId="7" priority="2" stopIfTrue="1">
      <formula>RiskColorCellsSimInput</formula>
    </cfRule>
    <cfRule type="expression" dxfId="6" priority="3" stopIfTrue="1">
      <formula>RiskColorCellsSimStatistics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C294-42C5-4503-9577-399CEB06DE55}">
  <dimension ref="A1:I59"/>
  <sheetViews>
    <sheetView showGridLines="0" workbookViewId="0">
      <selection activeCell="A39" sqref="A39:XFD40"/>
    </sheetView>
  </sheetViews>
  <sheetFormatPr defaultRowHeight="14.4" x14ac:dyDescent="0.3"/>
  <cols>
    <col min="2" max="2" width="32.109375" bestFit="1" customWidth="1"/>
    <col min="3" max="5" width="10.77734375" style="2" customWidth="1"/>
    <col min="8" max="9" width="10.77734375" customWidth="1"/>
  </cols>
  <sheetData>
    <row r="1" spans="1:5" x14ac:dyDescent="0.3">
      <c r="A1" s="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5" spans="1:5" x14ac:dyDescent="0.3">
      <c r="B5" s="1" t="s">
        <v>3</v>
      </c>
    </row>
    <row r="6" spans="1:5" x14ac:dyDescent="0.3">
      <c r="B6" t="s">
        <v>31</v>
      </c>
      <c r="C6" s="3">
        <v>100000</v>
      </c>
    </row>
    <row r="8" spans="1:5" x14ac:dyDescent="0.3">
      <c r="B8" s="8" t="s">
        <v>28</v>
      </c>
    </row>
    <row r="9" spans="1:5" x14ac:dyDescent="0.3">
      <c r="B9" t="s">
        <v>21</v>
      </c>
      <c r="C9" s="6">
        <v>40</v>
      </c>
      <c r="D9" s="10"/>
    </row>
    <row r="10" spans="1:5" x14ac:dyDescent="0.3">
      <c r="B10" t="s">
        <v>26</v>
      </c>
      <c r="C10" s="6">
        <v>2</v>
      </c>
      <c r="D10" s="10"/>
    </row>
    <row r="12" spans="1:5" x14ac:dyDescent="0.3">
      <c r="B12" s="8" t="s">
        <v>29</v>
      </c>
      <c r="C12" s="9" t="s">
        <v>8</v>
      </c>
      <c r="D12" s="9" t="s">
        <v>9</v>
      </c>
    </row>
    <row r="13" spans="1:5" x14ac:dyDescent="0.3">
      <c r="B13" t="s">
        <v>30</v>
      </c>
      <c r="C13" s="6">
        <v>4</v>
      </c>
      <c r="D13" s="6">
        <v>6</v>
      </c>
    </row>
    <row r="15" spans="1:5" x14ac:dyDescent="0.3">
      <c r="B15" s="8" t="s">
        <v>4</v>
      </c>
      <c r="C15" s="9" t="s">
        <v>8</v>
      </c>
      <c r="D15" s="9" t="s">
        <v>9</v>
      </c>
    </row>
    <row r="16" spans="1:5" x14ac:dyDescent="0.3">
      <c r="B16" t="s">
        <v>5</v>
      </c>
      <c r="C16" s="7">
        <v>400</v>
      </c>
      <c r="D16" s="7">
        <v>175</v>
      </c>
      <c r="E16" s="6"/>
    </row>
    <row r="17" spans="2:9" x14ac:dyDescent="0.3">
      <c r="B17" t="s">
        <v>6</v>
      </c>
      <c r="C17" s="7">
        <v>400</v>
      </c>
      <c r="D17" s="7">
        <v>150</v>
      </c>
      <c r="E17" s="6"/>
    </row>
    <row r="18" spans="2:9" x14ac:dyDescent="0.3">
      <c r="B18" t="s">
        <v>7</v>
      </c>
      <c r="C18" s="7">
        <v>450</v>
      </c>
      <c r="D18" s="7">
        <v>200</v>
      </c>
      <c r="E18" s="6"/>
    </row>
    <row r="20" spans="2:9" x14ac:dyDescent="0.3">
      <c r="B20" s="8" t="s">
        <v>10</v>
      </c>
      <c r="C20" s="9" t="s">
        <v>11</v>
      </c>
      <c r="D20" s="9" t="s">
        <v>12</v>
      </c>
      <c r="E20" s="9" t="s">
        <v>13</v>
      </c>
    </row>
    <row r="21" spans="2:9" x14ac:dyDescent="0.3">
      <c r="B21" t="s">
        <v>5</v>
      </c>
      <c r="C21" s="11">
        <v>160</v>
      </c>
      <c r="D21" s="11">
        <v>180</v>
      </c>
      <c r="E21" s="11">
        <v>220</v>
      </c>
    </row>
    <row r="22" spans="2:9" x14ac:dyDescent="0.3">
      <c r="B22" t="s">
        <v>6</v>
      </c>
      <c r="C22" s="11">
        <v>140</v>
      </c>
      <c r="D22" s="11">
        <v>200</v>
      </c>
      <c r="E22" s="11">
        <v>240</v>
      </c>
    </row>
    <row r="23" spans="2:9" x14ac:dyDescent="0.3">
      <c r="B23" t="s">
        <v>7</v>
      </c>
      <c r="C23" s="11">
        <v>150</v>
      </c>
      <c r="D23" s="11">
        <v>200</v>
      </c>
      <c r="E23" s="11">
        <v>225</v>
      </c>
    </row>
    <row r="25" spans="2:9" x14ac:dyDescent="0.3">
      <c r="B25" s="8" t="s">
        <v>14</v>
      </c>
      <c r="C25" s="9" t="s">
        <v>11</v>
      </c>
      <c r="D25" s="9" t="s">
        <v>12</v>
      </c>
      <c r="E25" s="9" t="s">
        <v>13</v>
      </c>
    </row>
    <row r="26" spans="2:9" x14ac:dyDescent="0.3">
      <c r="B26" t="s">
        <v>15</v>
      </c>
      <c r="C26" s="5">
        <v>0.05</v>
      </c>
      <c r="D26" s="5">
        <v>0.12</v>
      </c>
      <c r="E26" s="5">
        <v>0.15</v>
      </c>
    </row>
    <row r="27" spans="2:9" x14ac:dyDescent="0.3">
      <c r="B27" t="s">
        <v>16</v>
      </c>
      <c r="C27" s="6">
        <v>0.2</v>
      </c>
      <c r="D27" s="6">
        <v>0.5</v>
      </c>
      <c r="E27" s="6">
        <v>0.3</v>
      </c>
    </row>
    <row r="29" spans="2:9" x14ac:dyDescent="0.3">
      <c r="B29" s="1" t="s">
        <v>17</v>
      </c>
      <c r="C29" s="13" t="s">
        <v>28</v>
      </c>
      <c r="D29" s="13" t="s">
        <v>29</v>
      </c>
      <c r="H29" s="13"/>
      <c r="I29" s="13"/>
    </row>
    <row r="30" spans="2:9" x14ac:dyDescent="0.3">
      <c r="B30" t="s">
        <v>8</v>
      </c>
      <c r="C30" s="6">
        <v>4</v>
      </c>
      <c r="D30" s="6">
        <f>rows_first*seats_per_row_first</f>
        <v>16</v>
      </c>
    </row>
    <row r="31" spans="2:9" x14ac:dyDescent="0.3">
      <c r="B31" t="s">
        <v>9</v>
      </c>
      <c r="C31" s="6">
        <f>capacity-C37</f>
        <v>32</v>
      </c>
      <c r="D31" s="6">
        <f>rows_tourist*seats_per_row_tourist</f>
        <v>192</v>
      </c>
    </row>
    <row r="32" spans="2:9" x14ac:dyDescent="0.3">
      <c r="C32" s="20">
        <f>SUM(C30:C31)</f>
        <v>36</v>
      </c>
      <c r="D32" s="20">
        <f>seats_first+seats_tourist</f>
        <v>208</v>
      </c>
    </row>
    <row r="33" spans="2:5" x14ac:dyDescent="0.3">
      <c r="B33" s="1" t="s">
        <v>18</v>
      </c>
    </row>
    <row r="34" spans="2:5" x14ac:dyDescent="0.3">
      <c r="B34" t="s">
        <v>19</v>
      </c>
      <c r="C34" s="3" t="e" cm="1">
        <f t="array" aca="1" ref="C34" ca="1">_xll.RiskOutput()+revenue-costs</f>
        <v>#VALUE!</v>
      </c>
    </row>
    <row r="36" spans="2:5" x14ac:dyDescent="0.3">
      <c r="B36" s="1" t="s">
        <v>20</v>
      </c>
    </row>
    <row r="37" spans="2:5" x14ac:dyDescent="0.3">
      <c r="B37" t="s">
        <v>27</v>
      </c>
      <c r="C37" s="2">
        <f>rows_first*first_class_conversion</f>
        <v>8</v>
      </c>
      <c r="D37" s="12" t="str">
        <f ca="1">_xlfn.FORMULATEXT(rows_conversion)</f>
        <v>=rows_first*first_class_conversion</v>
      </c>
    </row>
    <row r="38" spans="2:5" x14ac:dyDescent="0.3">
      <c r="D38" s="12"/>
    </row>
    <row r="39" spans="2:5" x14ac:dyDescent="0.3">
      <c r="B39" t="s">
        <v>35</v>
      </c>
      <c r="C39" s="4" t="e" cm="1">
        <f t="array" aca="1" ref="C39" ca="1">_xll.RiskDiscrete(C26:E26,C27:E27)</f>
        <v>#VALUE!</v>
      </c>
      <c r="D39" s="12"/>
    </row>
    <row r="40" spans="2:5" x14ac:dyDescent="0.3">
      <c r="D40" s="12"/>
    </row>
    <row r="41" spans="2:5" x14ac:dyDescent="0.3">
      <c r="B41" s="8" t="s">
        <v>34</v>
      </c>
      <c r="C41" s="9" t="s">
        <v>8</v>
      </c>
      <c r="D41" s="9" t="s">
        <v>9</v>
      </c>
      <c r="E41" s="9" t="s">
        <v>33</v>
      </c>
    </row>
    <row r="42" spans="2:5" x14ac:dyDescent="0.3">
      <c r="B42" t="s">
        <v>5</v>
      </c>
      <c r="C42" s="19" t="e">
        <f ca="1">E42*fraction_first</f>
        <v>#VALUE!</v>
      </c>
      <c r="D42" s="18" t="e">
        <f ca="1">E42-C42</f>
        <v>#VALUE!</v>
      </c>
      <c r="E42" s="17" t="e" cm="1">
        <f t="array" aca="1" ref="E42" ca="1">_xll.RiskTriang(C21,D21,E21)</f>
        <v>#VALUE!</v>
      </c>
    </row>
    <row r="43" spans="2:5" x14ac:dyDescent="0.3">
      <c r="B43" t="s">
        <v>6</v>
      </c>
      <c r="C43" s="19" t="e">
        <f ca="1">E43*fraction_first</f>
        <v>#VALUE!</v>
      </c>
      <c r="D43" s="18" t="e">
        <f ca="1">E43-C43</f>
        <v>#VALUE!</v>
      </c>
      <c r="E43" s="17" t="e" cm="1">
        <f t="array" aca="1" ref="E43" ca="1">_xll.RiskTriang(C22,D22,E22)</f>
        <v>#VALUE!</v>
      </c>
    </row>
    <row r="44" spans="2:5" x14ac:dyDescent="0.3">
      <c r="B44" t="s">
        <v>7</v>
      </c>
      <c r="C44" s="19" t="e">
        <f ca="1">E44*fraction_first</f>
        <v>#VALUE!</v>
      </c>
      <c r="D44" s="18" t="e">
        <f ca="1">E44-C44</f>
        <v>#VALUE!</v>
      </c>
      <c r="E44" s="17" t="e" cm="1">
        <f t="array" aca="1" ref="E44" ca="1">_xll.RiskTriang(C23,D23,E23)</f>
        <v>#VALUE!</v>
      </c>
    </row>
    <row r="45" spans="2:5" x14ac:dyDescent="0.3">
      <c r="D45" s="12"/>
    </row>
    <row r="46" spans="2:5" x14ac:dyDescent="0.3">
      <c r="B46" s="8" t="s">
        <v>36</v>
      </c>
      <c r="C46" s="9" t="s">
        <v>8</v>
      </c>
      <c r="D46" s="9" t="s">
        <v>9</v>
      </c>
      <c r="E46" s="9" t="s">
        <v>33</v>
      </c>
    </row>
    <row r="47" spans="2:5" x14ac:dyDescent="0.3">
      <c r="B47" t="s">
        <v>5</v>
      </c>
      <c r="C47" s="17" t="e">
        <f ca="1">MIN(seats_first,C42)</f>
        <v>#VALUE!</v>
      </c>
      <c r="D47" s="19" t="e">
        <f ca="1">MIN(seats_tourist,D42)</f>
        <v>#VALUE!</v>
      </c>
      <c r="E47" s="17" t="e">
        <f ca="1">SUM(C47:D47)</f>
        <v>#VALUE!</v>
      </c>
    </row>
    <row r="48" spans="2:5" x14ac:dyDescent="0.3">
      <c r="B48" t="s">
        <v>6</v>
      </c>
      <c r="C48" s="17" t="e">
        <f ca="1">MIN(seats_first,C43)</f>
        <v>#VALUE!</v>
      </c>
      <c r="D48" s="19" t="e">
        <f ca="1">MIN(seats_tourist,D43)</f>
        <v>#VALUE!</v>
      </c>
      <c r="E48" s="17" t="e">
        <f ca="1">SUM(C48:D48)</f>
        <v>#VALUE!</v>
      </c>
    </row>
    <row r="49" spans="2:5" x14ac:dyDescent="0.3">
      <c r="B49" t="s">
        <v>7</v>
      </c>
      <c r="C49" s="17" t="e">
        <f ca="1">MIN(seats_first,C44)</f>
        <v>#VALUE!</v>
      </c>
      <c r="D49" s="19" t="e">
        <f ca="1">MIN(seats_tourist,D44)</f>
        <v>#VALUE!</v>
      </c>
      <c r="E49" s="17" t="e">
        <f ca="1">SUM(C49:D49)</f>
        <v>#VALUE!</v>
      </c>
    </row>
    <row r="50" spans="2:5" x14ac:dyDescent="0.3">
      <c r="D50" s="12"/>
    </row>
    <row r="51" spans="2:5" x14ac:dyDescent="0.3">
      <c r="B51" s="8" t="s">
        <v>32</v>
      </c>
      <c r="C51" s="9" t="s">
        <v>8</v>
      </c>
      <c r="D51" s="9" t="s">
        <v>9</v>
      </c>
      <c r="E51" s="9" t="s">
        <v>33</v>
      </c>
    </row>
    <row r="52" spans="2:5" x14ac:dyDescent="0.3">
      <c r="B52" t="s">
        <v>5</v>
      </c>
      <c r="C52" s="3" t="e">
        <f ca="1">C16*C47</f>
        <v>#VALUE!</v>
      </c>
      <c r="D52" s="3" t="e">
        <f ca="1">D16*D47</f>
        <v>#VALUE!</v>
      </c>
      <c r="E52" s="3" t="e">
        <f ca="1">SUM(C52:D52)</f>
        <v>#VALUE!</v>
      </c>
    </row>
    <row r="53" spans="2:5" x14ac:dyDescent="0.3">
      <c r="B53" t="s">
        <v>6</v>
      </c>
      <c r="C53" s="3" t="e">
        <f ca="1">C17*C48</f>
        <v>#VALUE!</v>
      </c>
      <c r="D53" s="3" t="e">
        <f ca="1">D17*D48</f>
        <v>#VALUE!</v>
      </c>
      <c r="E53" s="3" t="e">
        <f ca="1">SUM(C53:D53)</f>
        <v>#VALUE!</v>
      </c>
    </row>
    <row r="54" spans="2:5" x14ac:dyDescent="0.3">
      <c r="B54" t="s">
        <v>7</v>
      </c>
      <c r="C54" s="3" t="e">
        <f ca="1">C18*C49</f>
        <v>#VALUE!</v>
      </c>
      <c r="D54" s="3" t="e">
        <f ca="1">D18*D49</f>
        <v>#VALUE!</v>
      </c>
      <c r="E54" s="3" t="e">
        <f ca="1">SUM(C54:D54)</f>
        <v>#VALUE!</v>
      </c>
    </row>
    <row r="55" spans="2:5" ht="15" thickBot="1" x14ac:dyDescent="0.35">
      <c r="B55" s="14" t="s">
        <v>33</v>
      </c>
      <c r="C55" s="15" t="e">
        <f ca="1">SUM(C52:C54)</f>
        <v>#VALUE!</v>
      </c>
      <c r="D55" s="15" t="e">
        <f ca="1">SUM(D52:D54)</f>
        <v>#VALUE!</v>
      </c>
      <c r="E55" s="16" t="e">
        <f ca="1">SUM(E52:E54)</f>
        <v>#VALUE!</v>
      </c>
    </row>
    <row r="56" spans="2:5" ht="15" thickTop="1" x14ac:dyDescent="0.3"/>
    <row r="57" spans="2:5" x14ac:dyDescent="0.3">
      <c r="B57" s="1" t="s">
        <v>22</v>
      </c>
    </row>
    <row r="58" spans="2:5" x14ac:dyDescent="0.3">
      <c r="C58" s="9" t="s">
        <v>24</v>
      </c>
      <c r="D58" s="9"/>
      <c r="E58" s="9" t="s">
        <v>23</v>
      </c>
    </row>
    <row r="59" spans="2:5" x14ac:dyDescent="0.3">
      <c r="B59" t="s">
        <v>21</v>
      </c>
      <c r="C59" s="2">
        <f>rows_tourist+rows_conversion</f>
        <v>40</v>
      </c>
      <c r="D59" s="2" t="s">
        <v>25</v>
      </c>
      <c r="E59" s="2">
        <f>capacity</f>
        <v>40</v>
      </c>
    </row>
  </sheetData>
  <conditionalFormatting sqref="C39 E42:E44 C34 C30">
    <cfRule type="expression" dxfId="5" priority="1" stopIfTrue="1">
      <formula>RiskColorCellsSimOutput</formula>
    </cfRule>
    <cfRule type="expression" dxfId="4" priority="2" stopIfTrue="1">
      <formula>RiskColorCellsSimInput</formula>
    </cfRule>
    <cfRule type="expression" dxfId="3" priority="3" stopIfTrue="1">
      <formula>RiskColorCellsSimStatistics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53F8-1FE8-4557-B5B1-995A955DA57E}">
  <dimension ref="A1:I57"/>
  <sheetViews>
    <sheetView showGridLines="0" workbookViewId="0">
      <selection activeCell="A39" sqref="A39:XFD39"/>
    </sheetView>
  </sheetViews>
  <sheetFormatPr defaultRowHeight="14.4" x14ac:dyDescent="0.3"/>
  <cols>
    <col min="2" max="2" width="32.109375" bestFit="1" customWidth="1"/>
    <col min="3" max="5" width="10.77734375" style="2" customWidth="1"/>
    <col min="8" max="9" width="10.77734375" customWidth="1"/>
  </cols>
  <sheetData>
    <row r="1" spans="1:5" x14ac:dyDescent="0.3">
      <c r="A1" s="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5" spans="1:5" x14ac:dyDescent="0.3">
      <c r="B5" s="1" t="s">
        <v>3</v>
      </c>
    </row>
    <row r="6" spans="1:5" x14ac:dyDescent="0.3">
      <c r="B6" t="s">
        <v>31</v>
      </c>
      <c r="C6" s="3">
        <v>100000</v>
      </c>
    </row>
    <row r="8" spans="1:5" x14ac:dyDescent="0.3">
      <c r="B8" s="8" t="s">
        <v>28</v>
      </c>
    </row>
    <row r="9" spans="1:5" x14ac:dyDescent="0.3">
      <c r="B9" t="s">
        <v>21</v>
      </c>
      <c r="C9" s="6">
        <v>40</v>
      </c>
      <c r="D9" s="10"/>
    </row>
    <row r="10" spans="1:5" x14ac:dyDescent="0.3">
      <c r="B10" t="s">
        <v>26</v>
      </c>
      <c r="C10" s="6">
        <v>2</v>
      </c>
      <c r="D10" s="10"/>
    </row>
    <row r="12" spans="1:5" x14ac:dyDescent="0.3">
      <c r="B12" s="8" t="s">
        <v>29</v>
      </c>
      <c r="C12" s="9" t="s">
        <v>8</v>
      </c>
      <c r="D12" s="9" t="s">
        <v>9</v>
      </c>
    </row>
    <row r="13" spans="1:5" x14ac:dyDescent="0.3">
      <c r="B13" t="s">
        <v>30</v>
      </c>
      <c r="C13" s="6">
        <v>4</v>
      </c>
      <c r="D13" s="6">
        <v>6</v>
      </c>
    </row>
    <row r="15" spans="1:5" x14ac:dyDescent="0.3">
      <c r="B15" s="8" t="s">
        <v>4</v>
      </c>
      <c r="C15" s="9" t="s">
        <v>8</v>
      </c>
      <c r="D15" s="9" t="s">
        <v>9</v>
      </c>
    </row>
    <row r="16" spans="1:5" x14ac:dyDescent="0.3">
      <c r="B16" t="s">
        <v>5</v>
      </c>
      <c r="C16" s="7">
        <v>400</v>
      </c>
      <c r="D16" s="7">
        <v>175</v>
      </c>
      <c r="E16" s="6"/>
    </row>
    <row r="17" spans="2:9" x14ac:dyDescent="0.3">
      <c r="B17" t="s">
        <v>6</v>
      </c>
      <c r="C17" s="7">
        <v>400</v>
      </c>
      <c r="D17" s="7">
        <v>150</v>
      </c>
      <c r="E17" s="6"/>
    </row>
    <row r="18" spans="2:9" x14ac:dyDescent="0.3">
      <c r="B18" t="s">
        <v>7</v>
      </c>
      <c r="C18" s="7">
        <v>450</v>
      </c>
      <c r="D18" s="7">
        <v>200</v>
      </c>
      <c r="E18" s="6"/>
    </row>
    <row r="20" spans="2:9" x14ac:dyDescent="0.3">
      <c r="B20" s="8" t="s">
        <v>10</v>
      </c>
      <c r="C20" s="9" t="s">
        <v>11</v>
      </c>
      <c r="D20" s="9" t="s">
        <v>12</v>
      </c>
      <c r="E20" s="9" t="s">
        <v>13</v>
      </c>
    </row>
    <row r="21" spans="2:9" x14ac:dyDescent="0.3">
      <c r="B21" t="s">
        <v>5</v>
      </c>
      <c r="C21" s="11">
        <v>160</v>
      </c>
      <c r="D21" s="11">
        <v>180</v>
      </c>
      <c r="E21" s="11">
        <v>220</v>
      </c>
    </row>
    <row r="22" spans="2:9" x14ac:dyDescent="0.3">
      <c r="B22" t="s">
        <v>6</v>
      </c>
      <c r="C22" s="11">
        <v>140</v>
      </c>
      <c r="D22" s="11">
        <v>200</v>
      </c>
      <c r="E22" s="11">
        <v>240</v>
      </c>
    </row>
    <row r="23" spans="2:9" x14ac:dyDescent="0.3">
      <c r="B23" t="s">
        <v>7</v>
      </c>
      <c r="C23" s="11">
        <v>150</v>
      </c>
      <c r="D23" s="11">
        <v>200</v>
      </c>
      <c r="E23" s="11">
        <v>225</v>
      </c>
    </row>
    <row r="25" spans="2:9" x14ac:dyDescent="0.3">
      <c r="B25" s="8" t="s">
        <v>14</v>
      </c>
      <c r="C25" s="9" t="s">
        <v>11</v>
      </c>
      <c r="D25" s="9" t="s">
        <v>12</v>
      </c>
      <c r="E25" s="9" t="s">
        <v>13</v>
      </c>
    </row>
    <row r="26" spans="2:9" x14ac:dyDescent="0.3">
      <c r="B26" t="s">
        <v>15</v>
      </c>
      <c r="C26" s="5">
        <v>0.05</v>
      </c>
      <c r="D26" s="5">
        <v>0.12</v>
      </c>
      <c r="E26" s="5">
        <v>0.15</v>
      </c>
    </row>
    <row r="27" spans="2:9" x14ac:dyDescent="0.3">
      <c r="B27" t="s">
        <v>16</v>
      </c>
      <c r="C27" s="6">
        <v>0.2</v>
      </c>
      <c r="D27" s="6">
        <v>0.5</v>
      </c>
      <c r="E27" s="6">
        <v>0.3</v>
      </c>
    </row>
    <row r="29" spans="2:9" x14ac:dyDescent="0.3">
      <c r="B29" s="1" t="s">
        <v>17</v>
      </c>
      <c r="C29" s="13" t="s">
        <v>28</v>
      </c>
      <c r="D29" s="13" t="s">
        <v>29</v>
      </c>
      <c r="H29" s="13"/>
      <c r="I29" s="13"/>
    </row>
    <row r="30" spans="2:9" x14ac:dyDescent="0.3">
      <c r="B30" t="s">
        <v>8</v>
      </c>
      <c r="C30" s="6">
        <v>4</v>
      </c>
      <c r="D30" s="6">
        <f>rows_first*seats_per_row_first</f>
        <v>16</v>
      </c>
    </row>
    <row r="31" spans="2:9" x14ac:dyDescent="0.3">
      <c r="B31" t="s">
        <v>9</v>
      </c>
      <c r="C31" s="6">
        <f>capacity-C37</f>
        <v>32</v>
      </c>
      <c r="D31" s="6">
        <f>rows_tourist*seats_per_row_tourist</f>
        <v>192</v>
      </c>
    </row>
    <row r="32" spans="2:9" x14ac:dyDescent="0.3">
      <c r="C32" s="20">
        <f>SUM(C30:C31)</f>
        <v>36</v>
      </c>
      <c r="D32" s="20">
        <f>seats_first+seats_tourist</f>
        <v>208</v>
      </c>
    </row>
    <row r="33" spans="2:6" x14ac:dyDescent="0.3">
      <c r="B33" s="1" t="s">
        <v>18</v>
      </c>
    </row>
    <row r="34" spans="2:6" x14ac:dyDescent="0.3">
      <c r="B34" t="s">
        <v>19</v>
      </c>
      <c r="C34" s="23" t="e" cm="1">
        <f t="array" aca="1" ref="C34" ca="1">_xll.RiskOutput()+revenue-costs</f>
        <v>#VALUE!</v>
      </c>
    </row>
    <row r="36" spans="2:6" x14ac:dyDescent="0.3">
      <c r="B36" s="1" t="s">
        <v>20</v>
      </c>
    </row>
    <row r="37" spans="2:6" x14ac:dyDescent="0.3">
      <c r="B37" t="s">
        <v>27</v>
      </c>
      <c r="C37" s="2">
        <f>rows_first*first_class_conversion</f>
        <v>8</v>
      </c>
      <c r="D37" s="12" t="str">
        <f ca="1">_xlfn.FORMULATEXT(rows_conversion)</f>
        <v>=rows_first*first_class_conversion</v>
      </c>
    </row>
    <row r="38" spans="2:6" x14ac:dyDescent="0.3">
      <c r="D38" s="12"/>
    </row>
    <row r="39" spans="2:6" x14ac:dyDescent="0.3">
      <c r="B39" s="8" t="s">
        <v>34</v>
      </c>
      <c r="C39" s="9" t="s">
        <v>8</v>
      </c>
      <c r="D39" s="9" t="s">
        <v>9</v>
      </c>
      <c r="E39" s="9" t="s">
        <v>33</v>
      </c>
      <c r="F39" s="9" t="s">
        <v>61</v>
      </c>
    </row>
    <row r="40" spans="2:6" x14ac:dyDescent="0.3">
      <c r="B40" t="s">
        <v>5</v>
      </c>
      <c r="C40" s="19">
        <f>E40*F40</f>
        <v>24</v>
      </c>
      <c r="D40" s="18">
        <f>E40-C40</f>
        <v>176</v>
      </c>
      <c r="E40" s="17">
        <v>200</v>
      </c>
      <c r="F40" s="21">
        <v>0.12</v>
      </c>
    </row>
    <row r="41" spans="2:6" x14ac:dyDescent="0.3">
      <c r="B41" t="s">
        <v>6</v>
      </c>
      <c r="C41" s="19">
        <f t="shared" ref="C41:C42" si="0">E41*F41</f>
        <v>8.75</v>
      </c>
      <c r="D41" s="18">
        <f>E41-C41</f>
        <v>166.25</v>
      </c>
      <c r="E41" s="17">
        <v>175</v>
      </c>
      <c r="F41" s="21">
        <v>0.05</v>
      </c>
    </row>
    <row r="42" spans="2:6" x14ac:dyDescent="0.3">
      <c r="B42" t="s">
        <v>7</v>
      </c>
      <c r="C42" s="19">
        <f t="shared" si="0"/>
        <v>30</v>
      </c>
      <c r="D42" s="18">
        <f>E42-C42</f>
        <v>170</v>
      </c>
      <c r="E42" s="17">
        <v>200</v>
      </c>
      <c r="F42" s="21">
        <v>0.15</v>
      </c>
    </row>
    <row r="43" spans="2:6" x14ac:dyDescent="0.3">
      <c r="D43" s="12"/>
    </row>
    <row r="44" spans="2:6" x14ac:dyDescent="0.3">
      <c r="B44" s="8" t="s">
        <v>36</v>
      </c>
      <c r="C44" s="9" t="s">
        <v>8</v>
      </c>
      <c r="D44" s="9" t="s">
        <v>9</v>
      </c>
      <c r="E44" s="9" t="s">
        <v>33</v>
      </c>
    </row>
    <row r="45" spans="2:6" x14ac:dyDescent="0.3">
      <c r="B45" t="s">
        <v>5</v>
      </c>
      <c r="C45" s="17">
        <f>MIN(seats_first,C40)</f>
        <v>16</v>
      </c>
      <c r="D45" s="19">
        <f>MIN(seats_tourist,D40)</f>
        <v>176</v>
      </c>
      <c r="E45" s="17">
        <f>SUM(C45:D45)</f>
        <v>192</v>
      </c>
    </row>
    <row r="46" spans="2:6" x14ac:dyDescent="0.3">
      <c r="B46" t="s">
        <v>6</v>
      </c>
      <c r="C46" s="17">
        <f>MIN(seats_first,C41)</f>
        <v>8.75</v>
      </c>
      <c r="D46" s="19">
        <f>MIN(seats_tourist,D41)</f>
        <v>166.25</v>
      </c>
      <c r="E46" s="17">
        <f>SUM(C46:D46)</f>
        <v>175</v>
      </c>
    </row>
    <row r="47" spans="2:6" x14ac:dyDescent="0.3">
      <c r="B47" t="s">
        <v>7</v>
      </c>
      <c r="C47" s="17">
        <f>MIN(seats_first,C42)</f>
        <v>16</v>
      </c>
      <c r="D47" s="19">
        <f>MIN(seats_tourist,D42)</f>
        <v>170</v>
      </c>
      <c r="E47" s="17">
        <f>SUM(C47:D47)</f>
        <v>186</v>
      </c>
    </row>
    <row r="48" spans="2:6" x14ac:dyDescent="0.3">
      <c r="D48" s="12"/>
    </row>
    <row r="49" spans="2:5" x14ac:dyDescent="0.3">
      <c r="B49" s="8" t="s">
        <v>32</v>
      </c>
      <c r="C49" s="9" t="s">
        <v>8</v>
      </c>
      <c r="D49" s="9" t="s">
        <v>9</v>
      </c>
      <c r="E49" s="9" t="s">
        <v>33</v>
      </c>
    </row>
    <row r="50" spans="2:5" x14ac:dyDescent="0.3">
      <c r="B50" t="s">
        <v>5</v>
      </c>
      <c r="C50" s="3">
        <f>C16*C45</f>
        <v>6400</v>
      </c>
      <c r="D50" s="3">
        <f>D16*D45</f>
        <v>30800</v>
      </c>
      <c r="E50" s="3">
        <f>SUM(C50:D50)</f>
        <v>37200</v>
      </c>
    </row>
    <row r="51" spans="2:5" x14ac:dyDescent="0.3">
      <c r="B51" t="s">
        <v>6</v>
      </c>
      <c r="C51" s="3">
        <f>C17*C46</f>
        <v>3500</v>
      </c>
      <c r="D51" s="3">
        <f>D17*D46</f>
        <v>24937.5</v>
      </c>
      <c r="E51" s="3">
        <f>SUM(C51:D51)</f>
        <v>28437.5</v>
      </c>
    </row>
    <row r="52" spans="2:5" x14ac:dyDescent="0.3">
      <c r="B52" t="s">
        <v>7</v>
      </c>
      <c r="C52" s="3">
        <f>C18*C47</f>
        <v>7200</v>
      </c>
      <c r="D52" s="3">
        <f>D18*D47</f>
        <v>34000</v>
      </c>
      <c r="E52" s="3">
        <f>SUM(C52:D52)</f>
        <v>41200</v>
      </c>
    </row>
    <row r="53" spans="2:5" ht="15" thickBot="1" x14ac:dyDescent="0.35">
      <c r="B53" s="14" t="s">
        <v>33</v>
      </c>
      <c r="C53" s="15">
        <f>SUM(C50:C52)</f>
        <v>17100</v>
      </c>
      <c r="D53" s="15">
        <f>SUM(D50:D52)</f>
        <v>89737.5</v>
      </c>
      <c r="E53" s="22">
        <f>SUM(E50:E52)</f>
        <v>106837.5</v>
      </c>
    </row>
    <row r="54" spans="2:5" ht="15" thickTop="1" x14ac:dyDescent="0.3"/>
    <row r="55" spans="2:5" x14ac:dyDescent="0.3">
      <c r="B55" s="1" t="s">
        <v>22</v>
      </c>
    </row>
    <row r="56" spans="2:5" x14ac:dyDescent="0.3">
      <c r="C56" s="9" t="s">
        <v>24</v>
      </c>
      <c r="D56" s="9"/>
      <c r="E56" s="9" t="s">
        <v>23</v>
      </c>
    </row>
    <row r="57" spans="2:5" x14ac:dyDescent="0.3">
      <c r="B57" t="s">
        <v>21</v>
      </c>
      <c r="C57" s="2">
        <f>rows_tourist+rows_conversion</f>
        <v>40</v>
      </c>
      <c r="D57" s="2" t="s">
        <v>25</v>
      </c>
      <c r="E57" s="2">
        <f>capacity</f>
        <v>40</v>
      </c>
    </row>
  </sheetData>
  <conditionalFormatting sqref="E40:E42 C34 C30">
    <cfRule type="expression" dxfId="2" priority="1" stopIfTrue="1">
      <formula>RiskColorCellsSimOutput</formula>
    </cfRule>
    <cfRule type="expression" dxfId="1" priority="2" stopIfTrue="1">
      <formula>RiskColorCellsSimInput</formula>
    </cfRule>
    <cfRule type="expression" dxfId="0" priority="3" stopIfTrue="1">
      <formula>RiskColorCellsSimStatistics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43</vt:i4>
      </vt:variant>
    </vt:vector>
  </HeadingPairs>
  <TitlesOfParts>
    <vt:vector size="47" baseType="lpstr">
      <vt:lpstr>RiskSerializationData8</vt:lpstr>
      <vt:lpstr>SIMULATION</vt:lpstr>
      <vt:lpstr>PROBLEM 1</vt:lpstr>
      <vt:lpstr>PROBLEM 2</vt:lpstr>
      <vt:lpstr>RiskSerializationData8!BrowseRecords</vt:lpstr>
      <vt:lpstr>'PROBLEM 1'!capacity</vt:lpstr>
      <vt:lpstr>'PROBLEM 2'!capacity</vt:lpstr>
      <vt:lpstr>capacity</vt:lpstr>
      <vt:lpstr>'PROBLEM 1'!costs</vt:lpstr>
      <vt:lpstr>'PROBLEM 2'!costs</vt:lpstr>
      <vt:lpstr>costs</vt:lpstr>
      <vt:lpstr>'PROBLEM 1'!first_class_conversion</vt:lpstr>
      <vt:lpstr>'PROBLEM 2'!first_class_conversion</vt:lpstr>
      <vt:lpstr>first_class_conversion</vt:lpstr>
      <vt:lpstr>'PROBLEM 1'!fraction_first</vt:lpstr>
      <vt:lpstr>fraction_first</vt:lpstr>
      <vt:lpstr>'PROBLEM 1'!profit</vt:lpstr>
      <vt:lpstr>'PROBLEM 2'!profit</vt:lpstr>
      <vt:lpstr>profit</vt:lpstr>
      <vt:lpstr>'PROBLEM 1'!revenue</vt:lpstr>
      <vt:lpstr>'PROBLEM 2'!revenue</vt:lpstr>
      <vt:lpstr>revenue</vt:lpstr>
      <vt:lpstr>'PROBLEM 1'!rows_conversion</vt:lpstr>
      <vt:lpstr>'PROBLEM 2'!rows_conversion</vt:lpstr>
      <vt:lpstr>rows_conversion</vt:lpstr>
      <vt:lpstr>'PROBLEM 1'!rows_first</vt:lpstr>
      <vt:lpstr>'PROBLEM 2'!rows_first</vt:lpstr>
      <vt:lpstr>rows_first</vt:lpstr>
      <vt:lpstr>'PROBLEM 1'!rows_tourist</vt:lpstr>
      <vt:lpstr>'PROBLEM 2'!rows_tourist</vt:lpstr>
      <vt:lpstr>rows_tourist</vt:lpstr>
      <vt:lpstr>'PROBLEM 1'!seats_first</vt:lpstr>
      <vt:lpstr>'PROBLEM 2'!seats_first</vt:lpstr>
      <vt:lpstr>seats_first</vt:lpstr>
      <vt:lpstr>'PROBLEM 1'!seats_per_row_first</vt:lpstr>
      <vt:lpstr>'PROBLEM 2'!seats_per_row_first</vt:lpstr>
      <vt:lpstr>seats_per_row_first</vt:lpstr>
      <vt:lpstr>'PROBLEM 1'!seats_per_row_tourist</vt:lpstr>
      <vt:lpstr>'PROBLEM 2'!seats_per_row_tourist</vt:lpstr>
      <vt:lpstr>seats_per_row_tourist</vt:lpstr>
      <vt:lpstr>'PROBLEM 1'!seats_total</vt:lpstr>
      <vt:lpstr>'PROBLEM 2'!seats_total</vt:lpstr>
      <vt:lpstr>seats_total</vt:lpstr>
      <vt:lpstr>'PROBLEM 1'!seats_tourist</vt:lpstr>
      <vt:lpstr>'PROBLEM 2'!seats_tourist</vt:lpstr>
      <vt:lpstr>seats_tourist</vt:lpstr>
      <vt:lpstr>RiskSerializationData8!SerializationHeader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Johnson</dc:creator>
  <cp:lastModifiedBy>Mike Johnson</cp:lastModifiedBy>
  <dcterms:created xsi:type="dcterms:W3CDTF">2025-04-30T23:59:51Z</dcterms:created>
  <dcterms:modified xsi:type="dcterms:W3CDTF">2025-05-01T02:38:27Z</dcterms:modified>
</cp:coreProperties>
</file>